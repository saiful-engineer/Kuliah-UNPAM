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88ae202f52c6de41/Desktop/tugas.py/apapun/"/>
    </mc:Choice>
  </mc:AlternateContent>
  <xr:revisionPtr revIDLastSave="62" documentId="13_ncr:1_{B35C56BC-C148-457E-AE63-DE098EC8601F}" xr6:coauthVersionLast="47" xr6:coauthVersionMax="47" xr10:uidLastSave="{3A16D55B-16F7-4DF8-A98D-7194C9AF2D6A}"/>
  <bookViews>
    <workbookView xWindow="-110" yWindow="-110" windowWidth="19420" windowHeight="11500" xr2:uid="{F932841B-56ED-492E-B5F2-36A16B7F18AC}"/>
  </bookViews>
  <sheets>
    <sheet name="soal no 1" sheetId="2" r:id="rId1"/>
    <sheet name="No 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3" l="1"/>
  <c r="E16" i="3"/>
  <c r="F16" i="3"/>
  <c r="G16" i="3"/>
  <c r="C16" i="3"/>
  <c r="D14" i="3"/>
  <c r="E14" i="3"/>
  <c r="F14" i="3"/>
  <c r="G14" i="3"/>
  <c r="C14" i="3"/>
  <c r="H5" i="3"/>
  <c r="H6" i="3"/>
  <c r="H7" i="3"/>
  <c r="H8" i="3"/>
  <c r="H9" i="3"/>
  <c r="H10" i="3"/>
  <c r="H11" i="3"/>
  <c r="H12" i="3"/>
  <c r="H13" i="3"/>
  <c r="H4" i="3"/>
  <c r="I10" i="2"/>
</calcChain>
</file>

<file path=xl/sharedStrings.xml><?xml version="1.0" encoding="utf-8"?>
<sst xmlns="http://schemas.openxmlformats.org/spreadsheetml/2006/main" count="47" uniqueCount="46">
  <si>
    <t>Kasus</t>
  </si>
  <si>
    <t>Tingkat IQ</t>
  </si>
  <si>
    <r>
      <t>(</t>
    </r>
    <r>
      <rPr>
        <b/>
        <i/>
        <sz val="12"/>
        <color theme="1"/>
        <rFont val="Times New Roman"/>
        <family val="1"/>
      </rPr>
      <t>X</t>
    </r>
    <r>
      <rPr>
        <b/>
        <sz val="12"/>
        <color theme="1"/>
        <rFont val="Times New Roman"/>
        <family val="1"/>
      </rPr>
      <t>)</t>
    </r>
  </si>
  <si>
    <t>Nilai Mahasiswa</t>
  </si>
  <si>
    <r>
      <t>(</t>
    </r>
    <r>
      <rPr>
        <b/>
        <i/>
        <sz val="12"/>
        <color theme="1"/>
        <rFont val="Times New Roman"/>
        <family val="1"/>
      </rPr>
      <t>Y</t>
    </r>
    <r>
      <rPr>
        <b/>
        <sz val="12"/>
        <color theme="1"/>
        <rFont val="Times New Roman"/>
        <family val="1"/>
      </rPr>
      <t>)</t>
    </r>
  </si>
  <si>
    <t>Anggap seorang peneliti meyakini ada hubungan linier atau pengaruh tingkat IQ terhadap nilai mahasiswa. Tingkat IQ dianggap sebagai variabel independen (X) dan nilai mahasiswa dianggap sebagai variabel dependen (Y). Anggap data sampel yang tersedia (bukan data riil) dari responden sebanyak 10 mahasiswa adalah sebagai berikut. Buatlah persamaan Regressi dan Prediksi Nilai mahasiswa jika IQnya 100!</t>
  </si>
  <si>
    <t>Pertanyaan</t>
  </si>
  <si>
    <t>P1</t>
  </si>
  <si>
    <t>P2</t>
  </si>
  <si>
    <t>P3</t>
  </si>
  <si>
    <t>P4</t>
  </si>
  <si>
    <t>P5</t>
  </si>
  <si>
    <t>TOTAL</t>
  </si>
  <si>
    <t>R hitung</t>
  </si>
  <si>
    <t>Rtabel</t>
  </si>
  <si>
    <t>Keputusan</t>
  </si>
  <si>
    <t>SUMMARY OUTPUT</t>
  </si>
  <si>
    <t>Responden</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</si>
  <si>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</si>
  <si>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</si>
  <si>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</si>
  <si>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</si>
  <si>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</si>
  <si>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</si>
  <si>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</si>
  <si>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</si>
  <si>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</si>
  <si>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</si>
  <si>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</si>
  <si>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</si>
  <si>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</si>
  <si>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</si>
  <si>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</si>
  <si>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</si>
  <si>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</si>
  <si>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</si>
  <si>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</si>
  <si>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</si>
  <si>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</si>
  <si>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</si>
  <si>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</si>
  <si>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</si>
  <si>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 xml:space="preserve">persamaan regresi </t>
  </si>
  <si>
    <t>Prediksi nilai statistik jika iq 100</t>
  </si>
  <si>
    <t xml:space="preserve">nilai </t>
  </si>
  <si>
    <t>Y=0,49 x + 13,71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</si>
</sst>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b/>
      <i/>
      <sz val="12"/>
      <color theme="1"/>
      <name val="Times New Roman"/>
      <family val="1"/>
    </font>
    <font>
      <i/>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7"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0" xfId="0" applyFont="1" applyAlignment="1">
      <alignment horizontal="centerContinuous"/>
    </xf>
    <xf numFmtId="0" fontId="5" fillId="0" borderId="0" xfId="0" applyFont="1" applyAlignment="1">
      <alignment horizontal="center"/>
    </xf>
    <xf numFmtId="0" fontId="0" fillId="0" borderId="2" xfId="0" applyBorder="1"/>
    <xf numFmtId="0" fontId="5" fillId="0" borderId="3" xfId="0" applyFont="1" applyBorder="1" applyAlignment="1">
      <alignment horizontal="center"/>
    </xf>
    <xf numFmtId="0" fontId="5" fillId="0" borderId="3" xfId="0" applyFont="1" applyBorder="1" applyAlignment="1">
      <alignment horizontal="centerContinuous"/>
    </xf>
    <xf numFmtId="0" fontId="0" fillId="3" borderId="0" xfId="0" applyFill="1"/>
    <xf numFmtId="2" fontId="0" fillId="4" borderId="0" xfId="0" applyNumberFormat="1" applyFill="1"/>
    <xf numFmtId="2" fontId="0" fillId="4" borderId="2" xfId="0" applyNumberForma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0" xfId="0" applyFill="1"/>
    <xf numFmtId="0" fontId="0" fillId="2" borderId="8" xfId="0" applyFill="1" applyBorder="1"/>
    <xf numFmtId="0" fontId="0" fillId="2" borderId="9" xfId="0" applyFill="1" applyBorder="1"/>
    <xf numFmtId="0" fontId="0" fillId="2" borderId="10" xfId="0" applyFill="1" applyBorder="1"/>
    <xf numFmtId="0" fontId="0" fillId="2" borderId="11" xfId="0" applyFill="1" applyBorder="1"/>
    <xf numFmtId="0" fontId="0" fillId="0" borderId="1" xfId="0" applyBorder="1"/>
    <xf numFmtId="0" fontId="0" fillId="2" borderId="1" xfId="0" applyFill="1" applyBorder="1"/>
    <xf numFmtId="0" fontId="0" fillId="2" borderId="12" xfId="0" applyFill="1" applyBorder="1"/>
    <xf numFmtId="164" fontId="0" fillId="2" borderId="12" xfId="0" applyNumberFormat="1" applyFill="1" applyBorder="1"/>
    <xf numFmtId="0" fontId="0" fillId="0" borderId="0" xfId="0" applyAlignment="1">
      <alignment horizontal="left"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6D8B-BC0F-4D6E-9A1F-A8EEA175C021}">
  <dimension ref="A1:M26"/>
  <sheetViews>
    <sheetView tabSelected="1" zoomScale="30" zoomScaleNormal="130" workbookViewId="0">
      <selection activeCell="N18" sqref="N18"/>
    </sheetView>
  </sheetViews>
  <sheetFormatPr defaultRowHeight="14.5" x14ac:dyDescent="0.35"/>
  <cols>
    <col min="2" max="2" width="8.90625" bestFit="1" customWidth="1"/>
    <col min="3" max="3" width="11.1796875" customWidth="1"/>
    <col min="6" max="8" width="8.90625" bestFit="1" customWidth="1"/>
    <col min="9" max="10" width="14.6328125" bestFit="1" customWidth="1"/>
    <col min="11" max="13" width="8.81640625" bestFit="1" customWidth="1"/>
  </cols>
  <sheetData>
    <row r="1" spans="2:12" x14ac:dyDescent="0.35">
      <c r="D1" s="1" t="s">
        <v>0</v>
      </c>
    </row>
    <row r="2" spans="2:12" ht="15" customHeight="1" x14ac:dyDescent="0.35">
      <c r="D2" s="25" t="s">
        <v>5</v>
      </c>
      <c r="E2" s="25"/>
      <c r="F2" s="25"/>
      <c r="G2" s="25"/>
      <c r="H2" s="25"/>
      <c r="I2" s="25"/>
      <c r="J2" s="25"/>
      <c r="K2" s="25"/>
      <c r="L2" s="25"/>
    </row>
    <row r="3" spans="2:12" ht="45" customHeight="1" x14ac:dyDescent="0.35">
      <c r="B3" s="2" t="s">
        <v>1</v>
      </c>
      <c r="C3" s="2" t="s">
        <v>3</v>
      </c>
      <c r="D3" s="25"/>
      <c r="E3" s="25"/>
      <c r="F3" s="25"/>
      <c r="G3" s="25"/>
      <c r="H3" s="25"/>
      <c r="I3" s="25"/>
      <c r="J3" s="25"/>
      <c r="K3" s="25"/>
      <c r="L3" s="25"/>
    </row>
    <row r="4" spans="2:12" ht="15.5" x14ac:dyDescent="0.35">
      <c r="B4" s="2" t="s">
        <v>2</v>
      </c>
      <c r="C4" s="2" t="s">
        <v>4</v>
      </c>
      <c r="D4" s="25"/>
      <c r="E4" s="25"/>
      <c r="F4" s="25"/>
      <c r="G4" s="25"/>
      <c r="H4" s="25"/>
      <c r="I4" s="25"/>
      <c r="J4" s="25"/>
      <c r="K4" s="25"/>
      <c r="L4" s="25"/>
    </row>
    <row r="5" spans="2:12" ht="15.5" x14ac:dyDescent="0.35">
      <c r="B5" s="3">
        <v>90</v>
      </c>
      <c r="C5" s="3">
        <v>59</v>
      </c>
    </row>
    <row r="6" spans="2:12" ht="15.5" x14ac:dyDescent="0.35">
      <c r="B6" s="3">
        <v>97</v>
      </c>
      <c r="C6" s="3">
        <v>62</v>
      </c>
    </row>
    <row r="7" spans="2:12" ht="15.5" x14ac:dyDescent="0.35">
      <c r="B7" s="3">
        <v>106</v>
      </c>
      <c r="C7" s="3">
        <v>69</v>
      </c>
    </row>
    <row r="8" spans="2:12" ht="15.5" x14ac:dyDescent="0.35">
      <c r="B8" s="3">
        <v>110</v>
      </c>
      <c r="C8" s="3">
        <v>65</v>
      </c>
      <c r="D8" s="4"/>
      <c r="E8" s="4"/>
      <c r="H8" s="12" t="s">
        <v>42</v>
      </c>
      <c r="I8" s="13"/>
      <c r="J8" s="13" t="s">
        <v>45</v>
      </c>
      <c r="K8" s="14"/>
    </row>
    <row r="9" spans="2:12" ht="15.5" x14ac:dyDescent="0.35">
      <c r="B9" s="3">
        <v>115</v>
      </c>
      <c r="C9" s="3">
        <v>69</v>
      </c>
      <c r="E9" t="s">
        <v>16</v>
      </c>
      <c r="H9" s="15" t="s">
        <v>43</v>
      </c>
      <c r="I9" s="16"/>
      <c r="J9" s="16"/>
      <c r="K9" s="17"/>
    </row>
    <row r="10" spans="2:12" ht="16" thickBot="1" x14ac:dyDescent="0.4">
      <c r="B10" s="3">
        <v>118</v>
      </c>
      <c r="C10" s="3">
        <v>74</v>
      </c>
      <c r="H10" s="15" t="s">
        <v>44</v>
      </c>
      <c r="I10" s="16">
        <f>0.49 * 100 + 13.71</f>
        <v>62.71</v>
      </c>
      <c r="J10" s="16"/>
      <c r="K10" s="17"/>
    </row>
    <row r="11" spans="2:12" ht="15.5" x14ac:dyDescent="0.35">
      <c r="B11" s="3">
        <v>122</v>
      </c>
      <c r="C11" s="3">
        <v>70</v>
      </c>
      <c r="E11" s="8" t="s">
        <v>18</v>
      </c>
      <c r="F11" s="8"/>
      <c r="H11" s="18"/>
      <c r="I11" s="19"/>
      <c r="J11" s="19"/>
      <c r="K11" s="20"/>
    </row>
    <row r="12" spans="2:12" ht="15.5" x14ac:dyDescent="0.35">
      <c r="B12" s="3">
        <v>127</v>
      </c>
      <c r="C12" s="3">
        <v>76</v>
      </c>
      <c r="E12" t="s">
        <v>19</v>
      </c>
      <c r="F12">
        <v>0.96097716553311319</v>
      </c>
    </row>
    <row r="13" spans="2:12" ht="15.5" x14ac:dyDescent="0.35">
      <c r="B13" s="3">
        <v>135</v>
      </c>
      <c r="C13" s="3">
        <v>81</v>
      </c>
      <c r="E13" t="s">
        <v>20</v>
      </c>
      <c r="F13">
        <v>0.92347711267605637</v>
      </c>
    </row>
    <row r="14" spans="2:12" ht="15.5" x14ac:dyDescent="0.35">
      <c r="B14" s="3">
        <v>140</v>
      </c>
      <c r="C14" s="3">
        <v>85</v>
      </c>
      <c r="E14" t="s">
        <v>21</v>
      </c>
      <c r="F14">
        <v>0.9139117517605635</v>
      </c>
    </row>
    <row r="15" spans="2:12" x14ac:dyDescent="0.35">
      <c r="E15" t="s">
        <v>22</v>
      </c>
      <c r="F15">
        <v>2.3956662015597612</v>
      </c>
    </row>
    <row r="16" spans="2:12" ht="15" thickBot="1" x14ac:dyDescent="0.4">
      <c r="D16" s="5"/>
      <c r="E16" s="6" t="s">
        <v>23</v>
      </c>
      <c r="F16" s="6">
        <v>10</v>
      </c>
    </row>
    <row r="18" spans="1:13" ht="15" thickBot="1" x14ac:dyDescent="0.4">
      <c r="A18" s="9"/>
      <c r="B18" s="9"/>
      <c r="C18" s="9"/>
      <c r="E18" t="s">
        <v>24</v>
      </c>
    </row>
    <row r="19" spans="1:13" x14ac:dyDescent="0.35">
      <c r="A19" s="9"/>
      <c r="B19" s="9"/>
      <c r="C19" s="9"/>
      <c r="E19" s="7"/>
      <c r="F19" s="7" t="s">
        <v>29</v>
      </c>
      <c r="G19" s="7" t="s">
        <v>30</v>
      </c>
      <c r="H19" s="7" t="s">
        <v>31</v>
      </c>
      <c r="I19" s="7" t="s">
        <v>32</v>
      </c>
      <c r="J19" s="7" t="s">
        <v>33</v>
      </c>
    </row>
    <row r="20" spans="1:13" x14ac:dyDescent="0.35">
      <c r="A20" s="9"/>
      <c r="B20" s="9"/>
      <c r="C20" s="9"/>
      <c r="E20" t="s">
        <v>25</v>
      </c>
      <c r="F20">
        <v>1</v>
      </c>
      <c r="G20">
        <v>554.08626760563379</v>
      </c>
      <c r="H20">
        <v>554.08626760563379</v>
      </c>
      <c r="I20">
        <v>96.543885885194982</v>
      </c>
      <c r="J20">
        <v>9.6776451758469351E-6</v>
      </c>
    </row>
    <row r="21" spans="1:13" x14ac:dyDescent="0.35">
      <c r="A21" s="9"/>
      <c r="B21" s="9"/>
      <c r="C21" s="9"/>
      <c r="D21" s="5"/>
      <c r="E21" t="s">
        <v>26</v>
      </c>
      <c r="F21">
        <v>8</v>
      </c>
      <c r="G21">
        <v>45.9137323943662</v>
      </c>
      <c r="H21">
        <v>5.739216549295775</v>
      </c>
    </row>
    <row r="22" spans="1:13" ht="15" thickBot="1" x14ac:dyDescent="0.4">
      <c r="A22" s="9"/>
      <c r="B22" s="9"/>
      <c r="C22" s="9"/>
      <c r="E22" s="6" t="s">
        <v>27</v>
      </c>
      <c r="F22" s="6">
        <v>9</v>
      </c>
      <c r="G22" s="6">
        <v>600</v>
      </c>
      <c r="H22" s="6"/>
      <c r="I22" s="6"/>
      <c r="J22" s="6"/>
    </row>
    <row r="23" spans="1:13" ht="15" thickBot="1" x14ac:dyDescent="0.4">
      <c r="A23" s="9"/>
      <c r="B23" s="9"/>
      <c r="C23" s="9"/>
    </row>
    <row r="24" spans="1:13" x14ac:dyDescent="0.35">
      <c r="E24" s="7"/>
      <c r="F24" s="7" t="s">
        <v>34</v>
      </c>
      <c r="G24" s="7" t="s">
        <v>22</v>
      </c>
      <c r="H24" s="7" t="s">
        <v>35</v>
      </c>
      <c r="I24" s="7" t="s">
        <v>36</v>
      </c>
      <c r="J24" s="7" t="s">
        <v>37</v>
      </c>
      <c r="K24" s="7" t="s">
        <v>38</v>
      </c>
      <c r="L24" s="7" t="s">
        <v>39</v>
      </c>
      <c r="M24" s="7" t="s">
        <v>40</v>
      </c>
    </row>
    <row r="25" spans="1:13" x14ac:dyDescent="0.35">
      <c r="E25" t="s">
        <v>28</v>
      </c>
      <c r="F25" s="10">
        <v>13.714788732394382</v>
      </c>
      <c r="G25">
        <v>5.8791694781851263</v>
      </c>
      <c r="H25">
        <v>2.3327765568391263</v>
      </c>
      <c r="I25">
        <v>4.7953387628429558E-2</v>
      </c>
      <c r="J25">
        <v>0.15739960413335474</v>
      </c>
      <c r="K25">
        <v>27.272177860655411</v>
      </c>
      <c r="L25">
        <v>0.15739960413335474</v>
      </c>
      <c r="M25">
        <v>27.272177860655411</v>
      </c>
    </row>
    <row r="26" spans="1:13" ht="15" thickBot="1" x14ac:dyDescent="0.4">
      <c r="E26" s="6" t="s">
        <v>41</v>
      </c>
      <c r="F26" s="11">
        <v>0.49383802816901395</v>
      </c>
      <c r="G26" s="6">
        <v>5.0259960426259756E-2</v>
      </c>
      <c r="H26" s="6">
        <v>9.8256748310329769</v>
      </c>
      <c r="I26" s="6">
        <v>9.677645175846952E-6</v>
      </c>
      <c r="J26" s="6">
        <v>0.37793835159086114</v>
      </c>
      <c r="K26" s="6">
        <v>0.60973770474716671</v>
      </c>
      <c r="L26" s="6">
        <v>0.37793835159086114</v>
      </c>
      <c r="M26" s="6">
        <v>0.60973770474716671</v>
      </c>
    </row>
  </sheetData>
  <mergeCells count="1">
    <mergeCell ref="D2:L4"/>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CF013-6DAF-477A-8265-A846E665B270}">
  <dimension ref="B2:H16"/>
  <sheetViews>
    <sheetView zoomScale="65" zoomScaleNormal="130" workbookViewId="0">
      <selection activeCell="J7" sqref="J7"/>
    </sheetView>
  </sheetViews>
  <sheetFormatPr defaultRowHeight="14.5" x14ac:dyDescent="0.35"/>
  <cols>
    <col min="2" max="2" width="13.7265625" customWidth="1"/>
    <col min="4" max="4" width="13.453125" customWidth="1"/>
  </cols>
  <sheetData>
    <row r="2" spans="2:8" x14ac:dyDescent="0.35">
      <c r="B2" s="26" t="s">
        <v>17</v>
      </c>
      <c r="C2" s="26" t="s">
        <v>6</v>
      </c>
      <c r="D2" s="26"/>
      <c r="E2" s="26"/>
      <c r="F2" s="26"/>
      <c r="G2" s="26"/>
      <c r="H2" s="21"/>
    </row>
    <row r="3" spans="2:8" x14ac:dyDescent="0.35">
      <c r="B3" s="26"/>
      <c r="C3" s="21" t="s">
        <v>7</v>
      </c>
      <c r="D3" s="21" t="s">
        <v>8</v>
      </c>
      <c r="E3" s="21" t="s">
        <v>9</v>
      </c>
      <c r="F3" s="21" t="s">
        <v>10</v>
      </c>
      <c r="G3" s="21" t="s">
        <v>11</v>
      </c>
      <c r="H3" s="21" t="s">
        <v>12</v>
      </c>
    </row>
    <row r="4" spans="2:8" x14ac:dyDescent="0.35">
      <c r="B4" s="21">
        <v>1</v>
      </c>
      <c r="C4" s="21">
        <v>2</v>
      </c>
      <c r="D4" s="21">
        <v>1</v>
      </c>
      <c r="E4" s="21">
        <v>3</v>
      </c>
      <c r="F4" s="21">
        <v>1</v>
      </c>
      <c r="G4" s="21">
        <v>1</v>
      </c>
      <c r="H4" s="21">
        <f>SUM(C4:G4)</f>
        <v>8</v>
      </c>
    </row>
    <row r="5" spans="2:8" x14ac:dyDescent="0.35">
      <c r="B5" s="21">
        <v>2</v>
      </c>
      <c r="C5" s="21">
        <v>3</v>
      </c>
      <c r="D5" s="21">
        <v>4</v>
      </c>
      <c r="E5" s="21">
        <v>3</v>
      </c>
      <c r="F5" s="21">
        <v>2</v>
      </c>
      <c r="G5" s="21">
        <v>2</v>
      </c>
      <c r="H5" s="21">
        <f t="shared" ref="H5:H13" si="0">SUM(C5:G5)</f>
        <v>14</v>
      </c>
    </row>
    <row r="6" spans="2:8" x14ac:dyDescent="0.35">
      <c r="B6" s="21">
        <v>3</v>
      </c>
      <c r="C6" s="21">
        <v>3</v>
      </c>
      <c r="D6" s="21">
        <v>3</v>
      </c>
      <c r="E6" s="21">
        <v>3</v>
      </c>
      <c r="F6" s="21">
        <v>2</v>
      </c>
      <c r="G6" s="21">
        <v>3</v>
      </c>
      <c r="H6" s="21">
        <f t="shared" si="0"/>
        <v>14</v>
      </c>
    </row>
    <row r="7" spans="2:8" x14ac:dyDescent="0.35">
      <c r="B7" s="21">
        <v>4</v>
      </c>
      <c r="C7" s="21">
        <v>2</v>
      </c>
      <c r="D7" s="21">
        <v>4</v>
      </c>
      <c r="E7" s="21">
        <v>4</v>
      </c>
      <c r="F7" s="21">
        <v>3</v>
      </c>
      <c r="G7" s="21">
        <v>2</v>
      </c>
      <c r="H7" s="21">
        <f t="shared" si="0"/>
        <v>15</v>
      </c>
    </row>
    <row r="8" spans="2:8" x14ac:dyDescent="0.35">
      <c r="B8" s="21">
        <v>5</v>
      </c>
      <c r="C8" s="21">
        <v>3</v>
      </c>
      <c r="D8" s="21">
        <v>3</v>
      </c>
      <c r="E8" s="21">
        <v>3</v>
      </c>
      <c r="F8" s="21">
        <v>4</v>
      </c>
      <c r="G8" s="21">
        <v>2</v>
      </c>
      <c r="H8" s="21">
        <f t="shared" si="0"/>
        <v>15</v>
      </c>
    </row>
    <row r="9" spans="2:8" x14ac:dyDescent="0.35">
      <c r="B9" s="21">
        <v>6</v>
      </c>
      <c r="C9" s="21">
        <v>2</v>
      </c>
      <c r="D9" s="21">
        <v>5</v>
      </c>
      <c r="E9" s="21">
        <v>3</v>
      </c>
      <c r="F9" s="21">
        <v>4</v>
      </c>
      <c r="G9" s="21">
        <v>2</v>
      </c>
      <c r="H9" s="21">
        <f t="shared" si="0"/>
        <v>16</v>
      </c>
    </row>
    <row r="10" spans="2:8" x14ac:dyDescent="0.35">
      <c r="B10" s="21">
        <v>7</v>
      </c>
      <c r="C10" s="21">
        <v>5</v>
      </c>
      <c r="D10" s="21">
        <v>4</v>
      </c>
      <c r="E10" s="21">
        <v>5</v>
      </c>
      <c r="F10" s="21">
        <v>3</v>
      </c>
      <c r="G10" s="21">
        <v>4</v>
      </c>
      <c r="H10" s="21">
        <f t="shared" si="0"/>
        <v>21</v>
      </c>
    </row>
    <row r="11" spans="2:8" x14ac:dyDescent="0.35">
      <c r="B11" s="21">
        <v>8</v>
      </c>
      <c r="C11" s="21">
        <v>4</v>
      </c>
      <c r="D11" s="21">
        <v>2</v>
      </c>
      <c r="E11" s="21">
        <v>3</v>
      </c>
      <c r="F11" s="21">
        <v>3</v>
      </c>
      <c r="G11" s="21">
        <v>3</v>
      </c>
      <c r="H11" s="21">
        <f t="shared" si="0"/>
        <v>15</v>
      </c>
    </row>
    <row r="12" spans="2:8" x14ac:dyDescent="0.35">
      <c r="B12" s="21">
        <v>9</v>
      </c>
      <c r="C12" s="21">
        <v>1</v>
      </c>
      <c r="D12" s="21">
        <v>4</v>
      </c>
      <c r="E12" s="21">
        <v>1</v>
      </c>
      <c r="F12" s="21">
        <v>2</v>
      </c>
      <c r="G12" s="21">
        <v>2</v>
      </c>
      <c r="H12" s="21">
        <f t="shared" si="0"/>
        <v>10</v>
      </c>
    </row>
    <row r="13" spans="2:8" x14ac:dyDescent="0.35">
      <c r="B13" s="21">
        <v>10</v>
      </c>
      <c r="C13" s="21">
        <v>3</v>
      </c>
      <c r="D13" s="21">
        <v>2</v>
      </c>
      <c r="E13" s="21">
        <v>2</v>
      </c>
      <c r="F13" s="21">
        <v>2</v>
      </c>
      <c r="G13" s="21">
        <v>3</v>
      </c>
      <c r="H13" s="21">
        <f t="shared" si="0"/>
        <v>12</v>
      </c>
    </row>
    <row r="14" spans="2:8" x14ac:dyDescent="0.35">
      <c r="B14" s="23" t="s">
        <v>13</v>
      </c>
      <c r="C14" s="24">
        <f>CORREL(C4:C13,$H$4:$H$13)</f>
        <v>0.72133223763002241</v>
      </c>
      <c r="D14" s="24">
        <f t="shared" ref="D14:G14" si="1">CORREL(D4:D13,$H$4:$H$13)</f>
        <v>0.53807254048457942</v>
      </c>
      <c r="E14" s="24">
        <f t="shared" si="1"/>
        <v>0.74701788083399601</v>
      </c>
      <c r="F14" s="24">
        <f t="shared" si="1"/>
        <v>0.68465319688145776</v>
      </c>
      <c r="G14" s="24">
        <f t="shared" si="1"/>
        <v>0.70966698679229623</v>
      </c>
    </row>
    <row r="15" spans="2:8" x14ac:dyDescent="0.35">
      <c r="B15" s="22" t="s">
        <v>14</v>
      </c>
      <c r="C15" s="22">
        <v>0.63200000000000001</v>
      </c>
      <c r="D15" s="22">
        <v>0.63200000000000001</v>
      </c>
      <c r="E15" s="22">
        <v>0.63200000000000001</v>
      </c>
      <c r="F15" s="22">
        <v>0.63200000000000001</v>
      </c>
      <c r="G15" s="22">
        <v>0.63200000000000001</v>
      </c>
    </row>
    <row r="16" spans="2:8" x14ac:dyDescent="0.35">
      <c r="B16" s="22" t="s">
        <v>15</v>
      </c>
      <c r="C16" s="22" t="str">
        <f>IF(C14&gt;C15,"valid","tidak valid")</f>
        <v>valid</v>
      </c>
      <c r="D16" s="22" t="str">
        <f t="shared" ref="D16:G16" si="2">IF(D14&gt;D15,"valid","tidak valid")</f>
        <v>tidak valid</v>
      </c>
      <c r="E16" s="22" t="str">
        <f t="shared" si="2"/>
        <v>valid</v>
      </c>
      <c r="F16" s="22" t="str">
        <f t="shared" si="2"/>
        <v>valid</v>
      </c>
      <c r="G16" s="22" t="str">
        <f t="shared" si="2"/>
        <v>valid</v>
      </c>
    </row>
  </sheetData>
  <mergeCells count="2">
    <mergeCell ref="B2:B3"/>
    <mergeCell ref="C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soal no 1</vt:lpstr>
      <vt:lpstr>No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 Handayani</dc:creator>
  <cp:lastModifiedBy>SAIFUL BAHRI</cp:lastModifiedBy>
  <dcterms:created xsi:type="dcterms:W3CDTF">2025-10-13T02:54:46Z</dcterms:created>
  <dcterms:modified xsi:type="dcterms:W3CDTF">2025-10-26T16:06:40Z</dcterms:modified>
</cp:coreProperties>
</file>