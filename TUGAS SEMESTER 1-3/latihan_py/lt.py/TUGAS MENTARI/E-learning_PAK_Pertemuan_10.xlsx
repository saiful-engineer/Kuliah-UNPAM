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AE202F52C6DE41/ドキュメント/"/>
    </mc:Choice>
  </mc:AlternateContent>
  <xr:revisionPtr revIDLastSave="0" documentId="8_{56AAD383-061D-4F09-B1B3-33934A9E0AC1}" xr6:coauthVersionLast="47" xr6:coauthVersionMax="47" xr10:uidLastSave="{00000000-0000-0000-0000-000000000000}"/>
  <bookViews>
    <workbookView xWindow="-110" yWindow="-110" windowWidth="19420" windowHeight="11500" xr2:uid="{0A6D9927-D0DB-4486-9409-91DEF1B57C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H2" i="1" a="1"/>
  <c r="H2" i="1" s="1"/>
  <c r="I2" i="1" s="1" a="1"/>
  <c r="I2" i="1" s="1"/>
  <c r="G2" i="1" a="1"/>
  <c r="G2" i="1" s="1"/>
  <c r="F2" i="1" a="1"/>
  <c r="F2" i="1" s="1"/>
  <c r="E2" i="1" a="1"/>
  <c r="E2" i="1" s="1"/>
  <c r="D2" i="1" a="1"/>
  <c r="D2" i="1" s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<sst xmlns="http://schemas.openxmlformats.org/spreadsheetml/2006/main" count="14" uniqueCount="14">
  <si>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A</t>
  </si>
  <si>
    <t>B</t>
  </si>
  <si>
    <t>A+B</t>
  </si>
  <si>
    <t>A-B</t>
  </si>
  <si>
    <t>A*B</t>
  </si>
  <si>
    <t>A/B</t>
  </si>
  <si>
    <t>A*10%</t>
  </si>
  <si>
    <t>B*20%</t>
  </si>
  <si>
    <t>B-(B*20%)</t>
  </si>
  <si>
    <t>Total</t>
  </si>
  <si>
    <t>Rata-Rata</t>
  </si>
  <si>
    <t>Nilai Tertinggi</t>
  </si>
  <si>
    <t>Nilai Terendah</t>
  </si>
  <si>
    <t>Jumlah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</si>
</sst>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3BB4-E995-4DD2-9344-334DB2EFA3B1}">
  <dimension ref="A1:I21"/>
  <sheetViews>
    <sheetView tabSelected="1" zoomScale="108" zoomScaleNormal="220" workbookViewId="0">
      <selection activeCell="K24" sqref="K24"/>
    </sheetView>
  </sheetViews>
  <sheetFormatPr defaultRowHeight="14.5" x14ac:dyDescent="0.35"/>
  <cols>
    <col min="1" max="2" width="10.26953125" customWidth="1"/>
    <col min="9" max="9" width="10.08984375" customWidth="1"/>
  </cols>
  <sheetData>
    <row r="1" spans="1:9" s="1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5">
        <v>56</v>
      </c>
      <c r="B2" s="5">
        <v>23</v>
      </c>
      <c r="C2" s="5">
        <f t="shared" ref="C2:C15" si="0">A2+B2</f>
        <v>79</v>
      </c>
      <c r="D2" s="5" cm="1">
        <f t="array" ref="D2:D15">A2:A15-B2:B15</f>
        <v>33</v>
      </c>
      <c r="E2" s="5" cm="1">
        <f t="array" ref="E2:E15">A2:A15*B2:B15</f>
        <v>1288</v>
      </c>
      <c r="F2" s="5" cm="1">
        <f t="array" ref="F2:F15">A2:A15/B2:B15</f>
        <v>2.4347826086956523</v>
      </c>
      <c r="G2" s="5" cm="1">
        <f t="array" ref="G2:G15">A2:A15*10%</f>
        <v>5.6000000000000005</v>
      </c>
      <c r="H2" s="5" cm="1">
        <f t="array" ref="H2:H15">B2:B15*20%</f>
        <v>4.6000000000000005</v>
      </c>
      <c r="I2" s="5" cm="1">
        <f t="array" ref="I2:I15">B2:B15-_xlfn.ANCHORARRAY(H2)</f>
        <v>18.399999999999999</v>
      </c>
    </row>
    <row r="3" spans="1:9" x14ac:dyDescent="0.35">
      <c r="A3" s="5">
        <v>45</v>
      </c>
      <c r="B3" s="5">
        <v>34</v>
      </c>
      <c r="C3" s="5">
        <f t="shared" si="0"/>
        <v>79</v>
      </c>
      <c r="D3" s="5">
        <v>11</v>
      </c>
      <c r="E3" s="5">
        <v>1530</v>
      </c>
      <c r="F3" s="5">
        <v>1.3235294117647058</v>
      </c>
      <c r="G3" s="5">
        <v>4.5</v>
      </c>
      <c r="H3" s="5">
        <v>6.8000000000000007</v>
      </c>
      <c r="I3" s="5">
        <v>27.2</v>
      </c>
    </row>
    <row r="4" spans="1:9" x14ac:dyDescent="0.35">
      <c r="A4" s="5">
        <v>75</v>
      </c>
      <c r="B4" s="5">
        <v>23</v>
      </c>
      <c r="C4" s="5">
        <f t="shared" si="0"/>
        <v>98</v>
      </c>
      <c r="D4" s="5">
        <v>52</v>
      </c>
      <c r="E4" s="5">
        <v>1725</v>
      </c>
      <c r="F4" s="5">
        <v>3.2608695652173911</v>
      </c>
      <c r="G4" s="5">
        <v>7.5</v>
      </c>
      <c r="H4" s="5">
        <v>4.6000000000000005</v>
      </c>
      <c r="I4" s="5">
        <v>18.399999999999999</v>
      </c>
    </row>
    <row r="5" spans="1:9" x14ac:dyDescent="0.35">
      <c r="A5" s="5">
        <v>78</v>
      </c>
      <c r="B5" s="5">
        <v>11</v>
      </c>
      <c r="C5" s="5">
        <f t="shared" si="0"/>
        <v>89</v>
      </c>
      <c r="D5" s="5">
        <v>67</v>
      </c>
      <c r="E5" s="5">
        <v>858</v>
      </c>
      <c r="F5" s="5">
        <v>7.0909090909090908</v>
      </c>
      <c r="G5" s="5">
        <v>7.8000000000000007</v>
      </c>
      <c r="H5" s="5">
        <v>2.2000000000000002</v>
      </c>
      <c r="I5" s="5">
        <v>8.8000000000000007</v>
      </c>
    </row>
    <row r="6" spans="1:9" x14ac:dyDescent="0.35">
      <c r="A6" s="5">
        <v>78</v>
      </c>
      <c r="B6" s="5">
        <v>34</v>
      </c>
      <c r="C6" s="5">
        <f t="shared" si="0"/>
        <v>112</v>
      </c>
      <c r="D6" s="5">
        <v>44</v>
      </c>
      <c r="E6" s="5">
        <v>2652</v>
      </c>
      <c r="F6" s="5">
        <v>2.2941176470588234</v>
      </c>
      <c r="G6" s="5">
        <v>7.8000000000000007</v>
      </c>
      <c r="H6" s="5">
        <v>6.8000000000000007</v>
      </c>
      <c r="I6" s="5">
        <v>27.2</v>
      </c>
    </row>
    <row r="7" spans="1:9" x14ac:dyDescent="0.35">
      <c r="A7" s="5">
        <v>98</v>
      </c>
      <c r="B7" s="5">
        <v>45</v>
      </c>
      <c r="C7" s="5">
        <f t="shared" si="0"/>
        <v>143</v>
      </c>
      <c r="D7" s="5">
        <v>53</v>
      </c>
      <c r="E7" s="5">
        <v>4410</v>
      </c>
      <c r="F7" s="5">
        <v>2.1777777777777776</v>
      </c>
      <c r="G7" s="5">
        <v>9.8000000000000007</v>
      </c>
      <c r="H7" s="5">
        <v>9</v>
      </c>
      <c r="I7" s="5">
        <v>36</v>
      </c>
    </row>
    <row r="8" spans="1:9" x14ac:dyDescent="0.35">
      <c r="A8" s="5">
        <v>67</v>
      </c>
      <c r="B8" s="5">
        <v>23</v>
      </c>
      <c r="C8" s="5">
        <f t="shared" si="0"/>
        <v>90</v>
      </c>
      <c r="D8" s="5">
        <v>44</v>
      </c>
      <c r="E8" s="5">
        <v>1541</v>
      </c>
      <c r="F8" s="5">
        <v>2.9130434782608696</v>
      </c>
      <c r="G8" s="5">
        <v>6.7</v>
      </c>
      <c r="H8" s="5">
        <v>4.6000000000000005</v>
      </c>
      <c r="I8" s="5">
        <v>18.399999999999999</v>
      </c>
    </row>
    <row r="9" spans="1:9" x14ac:dyDescent="0.35">
      <c r="A9" s="5">
        <v>78</v>
      </c>
      <c r="B9" s="5">
        <v>53</v>
      </c>
      <c r="C9" s="5">
        <f t="shared" si="0"/>
        <v>131</v>
      </c>
      <c r="D9" s="5">
        <v>25</v>
      </c>
      <c r="E9" s="5">
        <v>4134</v>
      </c>
      <c r="F9" s="5">
        <v>1.4716981132075471</v>
      </c>
      <c r="G9" s="5">
        <v>7.8000000000000007</v>
      </c>
      <c r="H9" s="5">
        <v>10.600000000000001</v>
      </c>
      <c r="I9" s="5">
        <v>42.4</v>
      </c>
    </row>
    <row r="10" spans="1:9" x14ac:dyDescent="0.35">
      <c r="A10" s="5">
        <v>67</v>
      </c>
      <c r="B10" s="5">
        <v>23</v>
      </c>
      <c r="C10" s="5">
        <f t="shared" si="0"/>
        <v>90</v>
      </c>
      <c r="D10" s="5">
        <v>44</v>
      </c>
      <c r="E10" s="5">
        <v>1541</v>
      </c>
      <c r="F10" s="5">
        <v>2.9130434782608696</v>
      </c>
      <c r="G10" s="5">
        <v>6.7</v>
      </c>
      <c r="H10" s="5">
        <v>4.6000000000000005</v>
      </c>
      <c r="I10" s="5">
        <v>18.399999999999999</v>
      </c>
    </row>
    <row r="11" spans="1:9" x14ac:dyDescent="0.35">
      <c r="A11" s="5">
        <v>97</v>
      </c>
      <c r="B11" s="5">
        <v>12</v>
      </c>
      <c r="C11" s="5">
        <f t="shared" si="0"/>
        <v>109</v>
      </c>
      <c r="D11" s="5">
        <v>85</v>
      </c>
      <c r="E11" s="5">
        <v>1164</v>
      </c>
      <c r="F11" s="5">
        <v>8.0833333333333339</v>
      </c>
      <c r="G11" s="5">
        <v>9.7000000000000011</v>
      </c>
      <c r="H11" s="5">
        <v>2.4000000000000004</v>
      </c>
      <c r="I11" s="5">
        <v>9.6</v>
      </c>
    </row>
    <row r="12" spans="1:9" x14ac:dyDescent="0.35">
      <c r="A12" s="5">
        <v>90</v>
      </c>
      <c r="B12" s="5">
        <v>34</v>
      </c>
      <c r="C12" s="5">
        <f t="shared" si="0"/>
        <v>124</v>
      </c>
      <c r="D12" s="5">
        <v>56</v>
      </c>
      <c r="E12" s="5">
        <v>3060</v>
      </c>
      <c r="F12" s="5">
        <v>2.6470588235294117</v>
      </c>
      <c r="G12" s="5">
        <v>9</v>
      </c>
      <c r="H12" s="5">
        <v>6.8000000000000007</v>
      </c>
      <c r="I12" s="5">
        <v>27.2</v>
      </c>
    </row>
    <row r="13" spans="1:9" x14ac:dyDescent="0.35">
      <c r="A13" s="5">
        <v>67</v>
      </c>
      <c r="B13" s="5">
        <v>54</v>
      </c>
      <c r="C13" s="5">
        <f t="shared" si="0"/>
        <v>121</v>
      </c>
      <c r="D13" s="5">
        <v>13</v>
      </c>
      <c r="E13" s="5">
        <v>3618</v>
      </c>
      <c r="F13" s="5">
        <v>1.2407407407407407</v>
      </c>
      <c r="G13" s="5">
        <v>6.7</v>
      </c>
      <c r="H13" s="5">
        <v>10.8</v>
      </c>
      <c r="I13" s="5">
        <v>43.2</v>
      </c>
    </row>
    <row r="14" spans="1:9" x14ac:dyDescent="0.35">
      <c r="A14" s="5">
        <v>67</v>
      </c>
      <c r="B14" s="5">
        <v>65</v>
      </c>
      <c r="C14" s="5">
        <f t="shared" si="0"/>
        <v>132</v>
      </c>
      <c r="D14" s="5">
        <v>2</v>
      </c>
      <c r="E14" s="5">
        <v>4355</v>
      </c>
      <c r="F14" s="5">
        <v>1.0307692307692307</v>
      </c>
      <c r="G14" s="5">
        <v>6.7</v>
      </c>
      <c r="H14" s="5">
        <v>13</v>
      </c>
      <c r="I14" s="5">
        <v>52</v>
      </c>
    </row>
    <row r="15" spans="1:9" ht="15.5" customHeight="1" thickBot="1" x14ac:dyDescent="0.4">
      <c r="A15" s="6">
        <v>97</v>
      </c>
      <c r="B15" s="6">
        <v>34</v>
      </c>
      <c r="C15" s="6">
        <f t="shared" si="0"/>
        <v>131</v>
      </c>
      <c r="D15" s="6">
        <v>63</v>
      </c>
      <c r="E15" s="6">
        <v>3298</v>
      </c>
      <c r="F15" s="6">
        <v>2.8529411764705883</v>
      </c>
      <c r="G15" s="6">
        <v>9.7000000000000011</v>
      </c>
      <c r="H15" s="6">
        <v>6.8000000000000007</v>
      </c>
      <c r="I15" s="6">
        <v>27.2</v>
      </c>
    </row>
    <row r="16" spans="1:9" ht="15" thickTop="1" x14ac:dyDescent="0.35">
      <c r="A16" s="2" t="s">
        <v>9</v>
      </c>
      <c r="B16" s="2"/>
      <c r="C16" s="7">
        <f>SUM(A2:I15)</f>
        <v>39437.734614475987</v>
      </c>
      <c r="D16" s="7"/>
      <c r="E16" s="7"/>
      <c r="F16" s="7"/>
      <c r="G16" s="7"/>
      <c r="H16" s="7"/>
      <c r="I16" s="7"/>
    </row>
    <row r="17" spans="1:9" x14ac:dyDescent="0.35">
      <c r="A17" t="s">
        <v>10</v>
      </c>
      <c r="C17" s="4">
        <f>AVERAGE(A2:I15)</f>
        <v>312.99789376568242</v>
      </c>
      <c r="D17" s="4"/>
      <c r="E17" s="4"/>
      <c r="F17" s="4"/>
      <c r="G17" s="4"/>
      <c r="H17" s="4"/>
      <c r="I17" s="4"/>
    </row>
    <row r="18" spans="1:9" x14ac:dyDescent="0.35">
      <c r="A18" t="s">
        <v>11</v>
      </c>
      <c r="C18" s="4">
        <f>MAX(A2:I15)</f>
        <v>4410</v>
      </c>
      <c r="D18" s="4"/>
      <c r="E18" s="4"/>
      <c r="F18" s="4"/>
      <c r="G18" s="4"/>
      <c r="H18" s="4"/>
      <c r="I18" s="4"/>
    </row>
    <row r="19" spans="1:9" x14ac:dyDescent="0.35">
      <c r="A19" t="s">
        <v>12</v>
      </c>
      <c r="C19" s="4">
        <f>MIN(A2:I15)</f>
        <v>1.0307692307692307</v>
      </c>
      <c r="D19" s="4"/>
      <c r="E19" s="4"/>
      <c r="F19" s="4"/>
      <c r="G19" s="4"/>
      <c r="H19" s="4"/>
      <c r="I19" s="4"/>
    </row>
    <row r="20" spans="1:9" ht="15" thickBot="1" x14ac:dyDescent="0.4">
      <c r="A20" s="3" t="s">
        <v>13</v>
      </c>
      <c r="B20" s="3"/>
      <c r="C20" s="8">
        <f>COUNT(A2:I15)</f>
        <v>126</v>
      </c>
      <c r="D20" s="8"/>
      <c r="E20" s="8"/>
      <c r="F20" s="8"/>
      <c r="G20" s="8"/>
      <c r="H20" s="8"/>
      <c r="I20" s="8"/>
    </row>
    <row r="21" spans="1:9" ht="15" thickTop="1" x14ac:dyDescent="0.3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FE37-280D-4FAC-B7BE-7F7A5634C6E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BAHRI</dc:creator>
  <cp:lastModifiedBy>SAIFUL BAHRI</cp:lastModifiedBy>
  <dcterms:created xsi:type="dcterms:W3CDTF">2025-05-30T08:47:13Z</dcterms:created>
  <dcterms:modified xsi:type="dcterms:W3CDTF">2025-05-30T10:37:20Z</dcterms:modified>
</cp:coreProperties>
</file>